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MSA Informatica\Materias Semestre en Curso\INF 354 Inteligencia Artificial\"/>
    </mc:Choice>
  </mc:AlternateContent>
  <xr:revisionPtr revIDLastSave="0" documentId="13_ncr:1_{D6497B5A-CD13-42F1-8B2E-EF6DF07A55EC}" xr6:coauthVersionLast="47" xr6:coauthVersionMax="47" xr10:uidLastSave="{00000000-0000-0000-0000-000000000000}"/>
  <bookViews>
    <workbookView xWindow="-108" yWindow="-108" windowWidth="23256" windowHeight="12720" xr2:uid="{3AF3BC5D-817F-48A8-B61A-7686FCC11EA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2" i="1" l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37" i="1"/>
  <c r="A35" i="1"/>
  <c r="A27" i="1"/>
  <c r="A25" i="1"/>
  <c r="A17" i="1"/>
  <c r="A15" i="1"/>
  <c r="A5" i="1"/>
  <c r="A7" i="1"/>
  <c r="J1" i="1"/>
  <c r="G1" i="1"/>
  <c r="B3" i="1" s="1"/>
  <c r="C3" i="1" s="1"/>
  <c r="D3" i="1" s="1"/>
  <c r="B4" i="1" l="1"/>
  <c r="C4" i="1" s="1"/>
  <c r="D4" i="1" s="1"/>
  <c r="B12" i="1"/>
  <c r="C12" i="1" s="1"/>
  <c r="D12" i="1" s="1"/>
  <c r="B11" i="1"/>
  <c r="C11" i="1" s="1"/>
  <c r="D11" i="1" s="1"/>
  <c r="B10" i="1"/>
  <c r="C10" i="1" s="1"/>
  <c r="D10" i="1" s="1"/>
  <c r="B9" i="1"/>
  <c r="C9" i="1" s="1"/>
  <c r="D9" i="1" s="1"/>
  <c r="B8" i="1"/>
  <c r="C8" i="1" s="1"/>
  <c r="D8" i="1" s="1"/>
  <c r="B7" i="1"/>
  <c r="C7" i="1" s="1"/>
  <c r="D7" i="1" s="1"/>
  <c r="B6" i="1"/>
  <c r="C6" i="1" s="1"/>
  <c r="D6" i="1" s="1"/>
  <c r="B5" i="1"/>
  <c r="C5" i="1" s="1"/>
  <c r="D5" i="1" s="1"/>
  <c r="F9" i="1" l="1"/>
  <c r="F7" i="1"/>
  <c r="F12" i="1"/>
  <c r="M12" i="1" s="1"/>
  <c r="N12" i="1" s="1"/>
  <c r="F10" i="1"/>
  <c r="F11" i="1"/>
  <c r="F6" i="1"/>
  <c r="F8" i="1"/>
  <c r="F5" i="1"/>
  <c r="F3" i="1"/>
  <c r="F4" i="1"/>
  <c r="G12" i="1" l="1"/>
  <c r="H12" i="1" s="1"/>
  <c r="B22" i="1" s="1"/>
  <c r="C22" i="1" s="1"/>
  <c r="D22" i="1" s="1"/>
  <c r="M4" i="1"/>
  <c r="N4" i="1" s="1"/>
  <c r="G4" i="1" s="1"/>
  <c r="H4" i="1" s="1"/>
  <c r="B14" i="1" s="1"/>
  <c r="C14" i="1" s="1"/>
  <c r="D14" i="1" s="1"/>
  <c r="M8" i="1"/>
  <c r="N8" i="1" s="1"/>
  <c r="G8" i="1" s="1"/>
  <c r="H8" i="1" s="1"/>
  <c r="B18" i="1" s="1"/>
  <c r="C18" i="1" s="1"/>
  <c r="D18" i="1" s="1"/>
  <c r="M6" i="1"/>
  <c r="N6" i="1" s="1"/>
  <c r="G6" i="1" s="1"/>
  <c r="H6" i="1" s="1"/>
  <c r="B16" i="1" s="1"/>
  <c r="C16" i="1" s="1"/>
  <c r="D16" i="1" s="1"/>
  <c r="M11" i="1"/>
  <c r="N11" i="1" s="1"/>
  <c r="G11" i="1" s="1"/>
  <c r="H11" i="1" s="1"/>
  <c r="B21" i="1" s="1"/>
  <c r="C21" i="1" s="1"/>
  <c r="D21" i="1" s="1"/>
  <c r="M10" i="1"/>
  <c r="N10" i="1" s="1"/>
  <c r="G10" i="1" s="1"/>
  <c r="H10" i="1" s="1"/>
  <c r="B20" i="1" s="1"/>
  <c r="C20" i="1" s="1"/>
  <c r="D20" i="1" s="1"/>
  <c r="M5" i="1"/>
  <c r="N5" i="1" s="1"/>
  <c r="G5" i="1" s="1"/>
  <c r="H5" i="1" s="1"/>
  <c r="B15" i="1" s="1"/>
  <c r="C15" i="1" s="1"/>
  <c r="D15" i="1" s="1"/>
  <c r="M7" i="1"/>
  <c r="N7" i="1" s="1"/>
  <c r="G7" i="1" s="1"/>
  <c r="H7" i="1" s="1"/>
  <c r="B17" i="1" s="1"/>
  <c r="C17" i="1" s="1"/>
  <c r="D17" i="1" s="1"/>
  <c r="M3" i="1"/>
  <c r="N3" i="1" s="1"/>
  <c r="G3" i="1" s="1"/>
  <c r="H3" i="1" s="1"/>
  <c r="B13" i="1" s="1"/>
  <c r="C13" i="1" s="1"/>
  <c r="D13" i="1" s="1"/>
  <c r="F13" i="1" l="1"/>
  <c r="M13" i="1" s="1"/>
  <c r="N13" i="1" s="1"/>
  <c r="G13" i="1" s="1"/>
  <c r="H13" i="1" s="1"/>
  <c r="B23" i="1" s="1"/>
  <c r="C23" i="1" s="1"/>
  <c r="D23" i="1" s="1"/>
  <c r="F21" i="1"/>
  <c r="F17" i="1"/>
  <c r="F15" i="1"/>
  <c r="F18" i="1"/>
  <c r="F22" i="1"/>
  <c r="F16" i="1"/>
  <c r="F14" i="1"/>
  <c r="M9" i="1"/>
  <c r="N9" i="1" s="1"/>
  <c r="G9" i="1" s="1"/>
  <c r="H9" i="1" s="1"/>
  <c r="B19" i="1" s="1"/>
  <c r="C19" i="1" s="1"/>
  <c r="D19" i="1" s="1"/>
  <c r="F19" i="1" s="1"/>
  <c r="M16" i="1" l="1"/>
  <c r="N16" i="1" s="1"/>
  <c r="G16" i="1" s="1"/>
  <c r="H16" i="1" s="1"/>
  <c r="B26" i="1" s="1"/>
  <c r="C26" i="1" s="1"/>
  <c r="D26" i="1" s="1"/>
  <c r="M18" i="1"/>
  <c r="N18" i="1" s="1"/>
  <c r="G18" i="1" s="1"/>
  <c r="H18" i="1" s="1"/>
  <c r="B28" i="1" s="1"/>
  <c r="C28" i="1" s="1"/>
  <c r="D28" i="1" s="1"/>
  <c r="M19" i="1"/>
  <c r="N19" i="1" s="1"/>
  <c r="G19" i="1" s="1"/>
  <c r="H19" i="1" s="1"/>
  <c r="B29" i="1" s="1"/>
  <c r="C29" i="1" s="1"/>
  <c r="D29" i="1" s="1"/>
  <c r="M17" i="1"/>
  <c r="N17" i="1" s="1"/>
  <c r="G17" i="1" s="1"/>
  <c r="H17" i="1" s="1"/>
  <c r="B27" i="1" s="1"/>
  <c r="C27" i="1" s="1"/>
  <c r="D27" i="1" s="1"/>
  <c r="M22" i="1"/>
  <c r="N22" i="1" s="1"/>
  <c r="G22" i="1" s="1"/>
  <c r="H22" i="1" s="1"/>
  <c r="B32" i="1" s="1"/>
  <c r="C32" i="1" s="1"/>
  <c r="D32" i="1" s="1"/>
  <c r="M15" i="1"/>
  <c r="N15" i="1" s="1"/>
  <c r="G15" i="1" s="1"/>
  <c r="H15" i="1" s="1"/>
  <c r="B25" i="1" s="1"/>
  <c r="C25" i="1" s="1"/>
  <c r="D25" i="1" s="1"/>
  <c r="M21" i="1"/>
  <c r="N21" i="1" s="1"/>
  <c r="G21" i="1" s="1"/>
  <c r="H21" i="1" s="1"/>
  <c r="B31" i="1" s="1"/>
  <c r="C31" i="1" s="1"/>
  <c r="D31" i="1" s="1"/>
  <c r="M14" i="1"/>
  <c r="N14" i="1" s="1"/>
  <c r="G14" i="1" s="1"/>
  <c r="H14" i="1" s="1"/>
  <c r="B24" i="1" s="1"/>
  <c r="C24" i="1" s="1"/>
  <c r="D24" i="1" s="1"/>
  <c r="F24" i="1" s="1"/>
  <c r="F20" i="1"/>
  <c r="M24" i="1" l="1"/>
  <c r="N24" i="1" s="1"/>
  <c r="G24" i="1" s="1"/>
  <c r="H24" i="1" s="1"/>
  <c r="B34" i="1" s="1"/>
  <c r="C34" i="1" s="1"/>
  <c r="D34" i="1" s="1"/>
  <c r="F25" i="1"/>
  <c r="F31" i="1"/>
  <c r="F27" i="1"/>
  <c r="F32" i="1"/>
  <c r="F28" i="1"/>
  <c r="F26" i="1"/>
  <c r="F23" i="1"/>
  <c r="M20" i="1"/>
  <c r="N20" i="1" s="1"/>
  <c r="G20" i="1" s="1"/>
  <c r="H20" i="1" s="1"/>
  <c r="B30" i="1" s="1"/>
  <c r="C30" i="1" s="1"/>
  <c r="D30" i="1" s="1"/>
  <c r="F30" i="1" s="1"/>
  <c r="M32" i="1" l="1"/>
  <c r="N32" i="1" s="1"/>
  <c r="G32" i="1" s="1"/>
  <c r="H32" i="1" s="1"/>
  <c r="B42" i="1" s="1"/>
  <c r="C42" i="1" s="1"/>
  <c r="D42" i="1" s="1"/>
  <c r="M31" i="1"/>
  <c r="N31" i="1" s="1"/>
  <c r="G31" i="1" s="1"/>
  <c r="H31" i="1" s="1"/>
  <c r="B41" i="1" s="1"/>
  <c r="C41" i="1" s="1"/>
  <c r="D41" i="1" s="1"/>
  <c r="M30" i="1"/>
  <c r="N30" i="1" s="1"/>
  <c r="G30" i="1" s="1"/>
  <c r="H30" i="1" s="1"/>
  <c r="B40" i="1" s="1"/>
  <c r="C40" i="1" s="1"/>
  <c r="D40" i="1" s="1"/>
  <c r="M25" i="1"/>
  <c r="N25" i="1" s="1"/>
  <c r="G25" i="1" s="1"/>
  <c r="H25" i="1" s="1"/>
  <c r="B35" i="1" s="1"/>
  <c r="C35" i="1" s="1"/>
  <c r="D35" i="1" s="1"/>
  <c r="M28" i="1"/>
  <c r="N28" i="1" s="1"/>
  <c r="G28" i="1" s="1"/>
  <c r="H28" i="1" s="1"/>
  <c r="B38" i="1" s="1"/>
  <c r="C38" i="1" s="1"/>
  <c r="D38" i="1" s="1"/>
  <c r="M26" i="1"/>
  <c r="N26" i="1" s="1"/>
  <c r="G26" i="1" s="1"/>
  <c r="H26" i="1" s="1"/>
  <c r="B36" i="1" s="1"/>
  <c r="C36" i="1" s="1"/>
  <c r="D36" i="1" s="1"/>
  <c r="M27" i="1"/>
  <c r="N27" i="1" s="1"/>
  <c r="G27" i="1" s="1"/>
  <c r="H27" i="1" s="1"/>
  <c r="B37" i="1" s="1"/>
  <c r="C37" i="1" s="1"/>
  <c r="D37" i="1" s="1"/>
  <c r="M23" i="1"/>
  <c r="N23" i="1" s="1"/>
  <c r="G23" i="1" s="1"/>
  <c r="H23" i="1" s="1"/>
  <c r="B33" i="1" s="1"/>
  <c r="C33" i="1" s="1"/>
  <c r="D33" i="1" s="1"/>
  <c r="F33" i="1" s="1"/>
  <c r="F29" i="1"/>
  <c r="F37" i="1" l="1"/>
  <c r="M37" i="1" s="1"/>
  <c r="N37" i="1" s="1"/>
  <c r="G37" i="1" s="1"/>
  <c r="H37" i="1" s="1"/>
  <c r="M33" i="1"/>
  <c r="N33" i="1" s="1"/>
  <c r="G33" i="1" s="1"/>
  <c r="H33" i="1" s="1"/>
  <c r="F36" i="1"/>
  <c r="F42" i="1"/>
  <c r="F38" i="1"/>
  <c r="F35" i="1"/>
  <c r="F41" i="1"/>
  <c r="F34" i="1"/>
  <c r="M29" i="1"/>
  <c r="N29" i="1" s="1"/>
  <c r="G29" i="1" s="1"/>
  <c r="H29" i="1" s="1"/>
  <c r="B39" i="1" s="1"/>
  <c r="C39" i="1" s="1"/>
  <c r="D39" i="1" s="1"/>
  <c r="F39" i="1" s="1"/>
  <c r="M38" i="1" l="1"/>
  <c r="N38" i="1" s="1"/>
  <c r="G38" i="1" s="1"/>
  <c r="H38" i="1" s="1"/>
  <c r="M34" i="1"/>
  <c r="N34" i="1" s="1"/>
  <c r="G34" i="1" s="1"/>
  <c r="H34" i="1" s="1"/>
  <c r="M42" i="1"/>
  <c r="N42" i="1" s="1"/>
  <c r="G42" i="1" s="1"/>
  <c r="H42" i="1" s="1"/>
  <c r="M39" i="1"/>
  <c r="N39" i="1" s="1"/>
  <c r="G39" i="1" s="1"/>
  <c r="H39" i="1" s="1"/>
  <c r="M35" i="1"/>
  <c r="N35" i="1" s="1"/>
  <c r="G35" i="1" s="1"/>
  <c r="H35" i="1" s="1"/>
  <c r="M41" i="1"/>
  <c r="N41" i="1" s="1"/>
  <c r="G41" i="1" s="1"/>
  <c r="H41" i="1" s="1"/>
  <c r="M36" i="1"/>
  <c r="N36" i="1" s="1"/>
  <c r="G36" i="1" s="1"/>
  <c r="H36" i="1" s="1"/>
  <c r="F40" i="1"/>
  <c r="M40" i="1" l="1"/>
  <c r="N40" i="1" s="1"/>
  <c r="G40" i="1" s="1"/>
  <c r="H40" i="1" s="1"/>
</calcChain>
</file>

<file path=xl/sharedStrings.xml><?xml version="1.0" encoding="utf-8"?>
<sst xmlns="http://schemas.openxmlformats.org/spreadsheetml/2006/main" count="21" uniqueCount="15">
  <si>
    <t>Fitness=</t>
  </si>
  <si>
    <t>1+(LOG10(x))^2</t>
  </si>
  <si>
    <t xml:space="preserve">RANGO </t>
  </si>
  <si>
    <t>#POBLACION=10</t>
  </si>
  <si>
    <t>#GENERACION</t>
  </si>
  <si>
    <t>INDIVIDUOS</t>
  </si>
  <si>
    <t>BINARIO INDIVIDUOS</t>
  </si>
  <si>
    <t>COMPLEMENTO</t>
  </si>
  <si>
    <t>CRUCE ALEATORIO</t>
  </si>
  <si>
    <t>MUTACION ALEATORIO</t>
  </si>
  <si>
    <t>CRUCE</t>
  </si>
  <si>
    <t>FITNESS</t>
  </si>
  <si>
    <t>MUTACION</t>
  </si>
  <si>
    <t>CAMBIOBIT</t>
  </si>
  <si>
    <t>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</si>
</sst>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4"/>
      <color rgb="FFFF0000"/>
      <name val="Times New Roman"/>
      <family val="1"/>
    </font>
    <font>
      <b/>
      <i/>
      <sz val="16"/>
      <color rgb="FFFF0000"/>
      <name val="Times New Roman"/>
      <family val="1"/>
    </font>
    <font>
      <b/>
      <i/>
      <sz val="9"/>
      <color rgb="FFFF0000"/>
      <name val="Times New Roman"/>
      <family val="1"/>
    </font>
    <font>
      <b/>
      <i/>
      <sz val="12"/>
      <color rgb="FFFF0000"/>
      <name val="Times New Roman"/>
      <family val="1"/>
    </font>
    <font>
      <b/>
      <i/>
      <sz val="10"/>
      <color rgb="FF7030A0"/>
      <name val="Times New Roman"/>
      <family val="1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1FCE0"/>
        <bgColor indexed="64"/>
      </patternFill>
    </fill>
    <fill>
      <patternFill patternType="solid">
        <fgColor rgb="FFFAE2F6"/>
        <bgColor indexed="64"/>
      </patternFill>
    </fill>
    <fill>
      <patternFill patternType="solid">
        <fgColor rgb="FFFCD4D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 style="hair">
        <color rgb="FFFF0000"/>
      </right>
      <top style="double">
        <color rgb="FFFF0000"/>
      </top>
      <bottom/>
      <diagonal/>
    </border>
    <border>
      <left style="double">
        <color rgb="FFFF0000"/>
      </left>
      <right style="hair">
        <color rgb="FFFF0000"/>
      </right>
      <top/>
      <bottom/>
      <diagonal/>
    </border>
    <border>
      <left style="double">
        <color rgb="FFFF0000"/>
      </left>
      <right style="hair">
        <color rgb="FFFF0000"/>
      </right>
      <top/>
      <bottom style="double">
        <color rgb="FFFF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6" fillId="0" borderId="0" xfId="0" applyFont="1"/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CD4DD"/>
      <color rgb="FFFBC1C1"/>
      <color rgb="FFFAE2F6"/>
      <color rgb="FFF8D8F2"/>
      <color rgb="FFE1FC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80FC-233D-4BEE-BC58-96DA150A9C43}">
  <sheetPr codeName="Hoja1"/>
  <dimension ref="A1:N43"/>
  <sheetViews>
    <sheetView tabSelected="1" workbookViewId="0">
      <selection activeCell="E11" sqref="E11"/>
    </sheetView>
  </sheetViews>
  <sheetFormatPr baseColWidth="10" defaultRowHeight="14.4" x14ac:dyDescent="0.3"/>
  <cols>
    <col min="1" max="1" width="16.109375" customWidth="1"/>
    <col min="2" max="2" width="12.5546875" customWidth="1"/>
    <col min="4" max="4" width="15.6640625" customWidth="1"/>
  </cols>
  <sheetData>
    <row r="1" spans="1:14" ht="27" customHeight="1" thickBot="1" x14ac:dyDescent="0.35">
      <c r="A1" s="3"/>
      <c r="B1" s="4" t="s">
        <v>0</v>
      </c>
      <c r="C1" s="45" t="s">
        <v>1</v>
      </c>
      <c r="D1" s="5"/>
      <c r="E1" s="5" t="s">
        <v>2</v>
      </c>
      <c r="F1" s="5">
        <v>8</v>
      </c>
      <c r="G1" s="5">
        <f>(2^F1)-1</f>
        <v>255</v>
      </c>
      <c r="H1" s="6" t="s">
        <v>3</v>
      </c>
      <c r="I1" s="1"/>
      <c r="J1" s="2" t="str">
        <f>REPT("0",F1)</f>
        <v>00000000</v>
      </c>
    </row>
    <row r="2" spans="1:14" ht="25.2" customHeight="1" thickTop="1" thickBot="1" x14ac:dyDescent="0.35">
      <c r="A2" s="31" t="s">
        <v>4</v>
      </c>
      <c r="B2" s="31" t="s">
        <v>5</v>
      </c>
      <c r="C2" s="31" t="s">
        <v>6</v>
      </c>
      <c r="D2" s="31" t="s">
        <v>7</v>
      </c>
      <c r="E2" s="31" t="s">
        <v>11</v>
      </c>
      <c r="F2" s="31" t="s">
        <v>10</v>
      </c>
      <c r="G2" s="31" t="s">
        <v>12</v>
      </c>
      <c r="H2" s="31" t="s">
        <v>14</v>
      </c>
      <c r="M2" t="s">
        <v>13</v>
      </c>
    </row>
    <row r="3" spans="1:14" ht="15" thickTop="1" x14ac:dyDescent="0.3">
      <c r="A3" s="32">
        <v>1</v>
      </c>
      <c r="B3" s="7">
        <f ca="1">RANDBETWEEN(0,$G$1)</f>
        <v>27</v>
      </c>
      <c r="C3" s="7" t="str">
        <f ca="1">DEC2BIN(B3)</f>
        <v>11011</v>
      </c>
      <c r="D3" s="7" t="str">
        <f ca="1">TEXT(C3,$J$1)</f>
        <v>00011011</v>
      </c>
      <c r="E3" s="7">
        <f>1+(LOG10(122))^2</f>
        <v>5.352897343053165</v>
      </c>
      <c r="F3" s="7" t="str">
        <f ca="1">_xlfn.CONCAT(MID(D3,1,$A$5),MID(D4,$A$5+1,$F$1-$A$5))</f>
        <v>00011101</v>
      </c>
      <c r="G3" s="7" t="str">
        <f ca="1">_xlfn.CONCAT(MID(F3,1,$A$7-1),N3,MID(F3,$A$7+1,$F$1-$A$7))</f>
        <v>00111101</v>
      </c>
      <c r="H3" s="8">
        <f ca="1">BIN2DEC(G3)</f>
        <v>61</v>
      </c>
      <c r="M3" t="str">
        <f ca="1">MID(F3,$A$7,1)</f>
        <v>0</v>
      </c>
      <c r="N3" t="str">
        <f ca="1">IF((M3="1"),"0","1")</f>
        <v>1</v>
      </c>
    </row>
    <row r="4" spans="1:14" x14ac:dyDescent="0.3">
      <c r="A4" s="33" t="s">
        <v>8</v>
      </c>
      <c r="B4" s="9">
        <f ca="1">RANDBETWEEN(0,$G$1)</f>
        <v>173</v>
      </c>
      <c r="C4" s="9" t="str">
        <f t="shared" ref="C4:C12" ca="1" si="0">DEC2BIN(B4)</f>
        <v>10101101</v>
      </c>
      <c r="D4" s="9" t="str">
        <f t="shared" ref="D4:D12" ca="1" si="1">TEXT(C4,$J$1)</f>
        <v>10101101</v>
      </c>
      <c r="E4" s="9">
        <f>1+(LOG10(226))^2</f>
        <v>6.5418265432650111</v>
      </c>
      <c r="F4" s="9" t="str">
        <f ca="1">_xlfn.CONCAT(MID(D4,1,$A$5),MID(D3,$A$5+1,$F$1-$A$5))</f>
        <v>10101011</v>
      </c>
      <c r="G4" s="9" t="str">
        <f t="shared" ref="G4:G12" ca="1" si="2">_xlfn.CONCAT(MID(F4,1,$A$7-1),N4,MID(F4,$A$7+1,$F$1-$A$7))</f>
        <v>10001011</v>
      </c>
      <c r="H4" s="10">
        <f t="shared" ref="H4:H12" ca="1" si="3">BIN2DEC(G4)</f>
        <v>139</v>
      </c>
      <c r="M4" t="str">
        <f t="shared" ref="M4:M12" ca="1" si="4">MID(F4,$A$7,1)</f>
        <v>1</v>
      </c>
      <c r="N4" t="str">
        <f t="shared" ref="N4:N23" ca="1" si="5">IF((M4="1"),"0","1")</f>
        <v>0</v>
      </c>
    </row>
    <row r="5" spans="1:14" x14ac:dyDescent="0.3">
      <c r="A5" s="33">
        <f ca="1">RANDBETWEEN(1,F1-1)</f>
        <v>5</v>
      </c>
      <c r="B5" s="9">
        <f t="shared" ref="B5:B14" ca="1" si="6">RANDBETWEEN(0,$G$1)</f>
        <v>189</v>
      </c>
      <c r="C5" s="9" t="str">
        <f t="shared" ca="1" si="0"/>
        <v>10111101</v>
      </c>
      <c r="D5" s="9" t="str">
        <f t="shared" ca="1" si="1"/>
        <v>10111101</v>
      </c>
      <c r="E5" s="9">
        <f>1+(LOG10(56))^2</f>
        <v>4.0561613777678325</v>
      </c>
      <c r="F5" s="9" t="str">
        <f ca="1">_xlfn.CONCAT(MID(D5,1,$A$5),MID(D6,$A$5+1,$F$1-$A$5))</f>
        <v>10111110</v>
      </c>
      <c r="G5" s="9" t="str">
        <f t="shared" ca="1" si="2"/>
        <v>10011110</v>
      </c>
      <c r="H5" s="10">
        <f t="shared" ca="1" si="3"/>
        <v>158</v>
      </c>
      <c r="M5" t="str">
        <f t="shared" ca="1" si="4"/>
        <v>1</v>
      </c>
      <c r="N5" t="str">
        <f t="shared" ca="1" si="5"/>
        <v>0</v>
      </c>
    </row>
    <row r="6" spans="1:14" x14ac:dyDescent="0.3">
      <c r="A6" s="33" t="s">
        <v>9</v>
      </c>
      <c r="B6" s="9">
        <f t="shared" ca="1" si="6"/>
        <v>230</v>
      </c>
      <c r="C6" s="9" t="str">
        <f t="shared" ca="1" si="0"/>
        <v>11100110</v>
      </c>
      <c r="D6" s="9" t="str">
        <f t="shared" ca="1" si="1"/>
        <v>11100110</v>
      </c>
      <c r="E6" s="9">
        <f>1+(LOG10(160))^2</f>
        <v>5.858144897943153</v>
      </c>
      <c r="F6" s="9" t="str">
        <f ca="1">_xlfn.CONCAT(MID(D6,1,$A$5),MID(D5,$A$5+1,$F$1-$A$5))</f>
        <v>11100101</v>
      </c>
      <c r="G6" s="9" t="str">
        <f t="shared" ca="1" si="2"/>
        <v>11000101</v>
      </c>
      <c r="H6" s="10">
        <f t="shared" ca="1" si="3"/>
        <v>197</v>
      </c>
      <c r="M6" t="str">
        <f t="shared" ca="1" si="4"/>
        <v>1</v>
      </c>
      <c r="N6" t="str">
        <f t="shared" ca="1" si="5"/>
        <v>0</v>
      </c>
    </row>
    <row r="7" spans="1:14" x14ac:dyDescent="0.3">
      <c r="A7" s="33">
        <f ca="1">RANDBETWEEN(1,F1)</f>
        <v>3</v>
      </c>
      <c r="B7" s="9">
        <f t="shared" ca="1" si="6"/>
        <v>251</v>
      </c>
      <c r="C7" s="9" t="str">
        <f t="shared" ca="1" si="0"/>
        <v>11111011</v>
      </c>
      <c r="D7" s="9" t="str">
        <f t="shared" ca="1" si="1"/>
        <v>11111011</v>
      </c>
      <c r="E7" s="9">
        <f>1+(LOG10(24))^2</f>
        <v>2.9049830717470932</v>
      </c>
      <c r="F7" s="9" t="str">
        <f ca="1">_xlfn.CONCAT(MID(D7,1,$A$5),MID(D8,$A$5+1,$F$1-$A$5))</f>
        <v>11111100</v>
      </c>
      <c r="G7" s="9" t="str">
        <f t="shared" ca="1" si="2"/>
        <v>11011100</v>
      </c>
      <c r="H7" s="10">
        <f t="shared" ca="1" si="3"/>
        <v>220</v>
      </c>
      <c r="K7" s="44"/>
      <c r="M7" t="str">
        <f t="shared" ca="1" si="4"/>
        <v>1</v>
      </c>
      <c r="N7" t="str">
        <f t="shared" ca="1" si="5"/>
        <v>0</v>
      </c>
    </row>
    <row r="8" spans="1:14" x14ac:dyDescent="0.3">
      <c r="A8" s="34"/>
      <c r="B8" s="9">
        <f t="shared" ca="1" si="6"/>
        <v>244</v>
      </c>
      <c r="C8" s="9" t="str">
        <f t="shared" ca="1" si="0"/>
        <v>11110100</v>
      </c>
      <c r="D8" s="9" t="str">
        <f t="shared" ca="1" si="1"/>
        <v>11110100</v>
      </c>
      <c r="E8" s="9">
        <f>1+(LOG10(200))^2</f>
        <v>6.2947390409453812</v>
      </c>
      <c r="F8" s="9" t="str">
        <f ca="1">_xlfn.CONCAT(MID(D8,1,$A$5),MID(D7,$A$5+1,$F$1-$A$5))</f>
        <v>11110011</v>
      </c>
      <c r="G8" s="9" t="str">
        <f t="shared" ca="1" si="2"/>
        <v>11010011</v>
      </c>
      <c r="H8" s="10">
        <f t="shared" ca="1" si="3"/>
        <v>211</v>
      </c>
      <c r="M8" t="str">
        <f t="shared" ca="1" si="4"/>
        <v>1</v>
      </c>
      <c r="N8" t="str">
        <f t="shared" ca="1" si="5"/>
        <v>0</v>
      </c>
    </row>
    <row r="9" spans="1:14" x14ac:dyDescent="0.3">
      <c r="A9" s="34"/>
      <c r="B9" s="9">
        <f t="shared" ca="1" si="6"/>
        <v>109</v>
      </c>
      <c r="C9" s="9" t="str">
        <f t="shared" ca="1" si="0"/>
        <v>1101101</v>
      </c>
      <c r="D9" s="9" t="str">
        <f t="shared" ca="1" si="1"/>
        <v>01101101</v>
      </c>
      <c r="E9" s="9">
        <f>1+(LOG10(32))^2</f>
        <v>3.2654764572364137</v>
      </c>
      <c r="F9" s="9" t="str">
        <f ca="1">_xlfn.CONCAT(MID(D9,1,$A$5),MID(D10,$A$5+1,$F$1-$A$5))</f>
        <v>01101011</v>
      </c>
      <c r="G9" s="9" t="str">
        <f t="shared" ca="1" si="2"/>
        <v>01001011</v>
      </c>
      <c r="H9" s="10">
        <f t="shared" ca="1" si="3"/>
        <v>75</v>
      </c>
      <c r="M9" t="str">
        <f t="shared" ca="1" si="4"/>
        <v>1</v>
      </c>
      <c r="N9" t="str">
        <f t="shared" ca="1" si="5"/>
        <v>0</v>
      </c>
    </row>
    <row r="10" spans="1:14" x14ac:dyDescent="0.3">
      <c r="A10" s="34"/>
      <c r="B10" s="9">
        <f t="shared" ca="1" si="6"/>
        <v>211</v>
      </c>
      <c r="C10" s="9" t="str">
        <f t="shared" ca="1" si="0"/>
        <v>11010011</v>
      </c>
      <c r="D10" s="9" t="str">
        <f t="shared" ca="1" si="1"/>
        <v>11010011</v>
      </c>
      <c r="E10" s="9">
        <f>1+(LOG10(85))^2</f>
        <v>4.7226573909044944</v>
      </c>
      <c r="F10" s="9" t="str">
        <f ca="1">_xlfn.CONCAT(MID(D10,1,$A$5),MID(D9,$A$5+1,$F$1-$A$5))</f>
        <v>11010101</v>
      </c>
      <c r="G10" s="9" t="str">
        <f t="shared" ca="1" si="2"/>
        <v>11110101</v>
      </c>
      <c r="H10" s="10">
        <f t="shared" ca="1" si="3"/>
        <v>245</v>
      </c>
      <c r="M10" t="str">
        <f t="shared" ca="1" si="4"/>
        <v>0</v>
      </c>
      <c r="N10" t="str">
        <f t="shared" ca="1" si="5"/>
        <v>1</v>
      </c>
    </row>
    <row r="11" spans="1:14" x14ac:dyDescent="0.3">
      <c r="A11" s="34"/>
      <c r="B11" s="9">
        <f t="shared" ca="1" si="6"/>
        <v>196</v>
      </c>
      <c r="C11" s="9" t="str">
        <f t="shared" ca="1" si="0"/>
        <v>11000100</v>
      </c>
      <c r="D11" s="9" t="str">
        <f t="shared" ca="1" si="1"/>
        <v>11000100</v>
      </c>
      <c r="E11" s="9">
        <f>1+(LOG10(27))^2</f>
        <v>3.048802225347385</v>
      </c>
      <c r="F11" s="9" t="str">
        <f ca="1">_xlfn.CONCAT(MID(D11,1,$A$5),MID(D12,$A$5+1,$F$1-$A$5))</f>
        <v>11000010</v>
      </c>
      <c r="G11" s="9" t="str">
        <f t="shared" ca="1" si="2"/>
        <v>11100010</v>
      </c>
      <c r="H11" s="10">
        <f t="shared" ca="1" si="3"/>
        <v>226</v>
      </c>
      <c r="M11" t="str">
        <f t="shared" ca="1" si="4"/>
        <v>0</v>
      </c>
      <c r="N11" t="str">
        <f t="shared" ca="1" si="5"/>
        <v>1</v>
      </c>
    </row>
    <row r="12" spans="1:14" ht="15" thickBot="1" x14ac:dyDescent="0.35">
      <c r="A12" s="35"/>
      <c r="B12" s="11">
        <f t="shared" ca="1" si="6"/>
        <v>186</v>
      </c>
      <c r="C12" s="11" t="str">
        <f t="shared" ca="1" si="0"/>
        <v>10111010</v>
      </c>
      <c r="D12" s="11" t="str">
        <f t="shared" ca="1" si="1"/>
        <v>10111010</v>
      </c>
      <c r="E12" s="11">
        <f>1+(LOG10(48))^2</f>
        <v>3.8265720982521954</v>
      </c>
      <c r="F12" s="11" t="str">
        <f ca="1">_xlfn.CONCAT(MID(D12,1,$A$5),MID(D11,$A$5+1,$F$1-$A$5))</f>
        <v>10111100</v>
      </c>
      <c r="G12" s="11" t="str">
        <f t="shared" ca="1" si="2"/>
        <v>10011100</v>
      </c>
      <c r="H12" s="12">
        <f t="shared" ca="1" si="3"/>
        <v>156</v>
      </c>
      <c r="M12" t="str">
        <f t="shared" ca="1" si="4"/>
        <v>1</v>
      </c>
      <c r="N12" t="str">
        <f t="shared" ca="1" si="5"/>
        <v>0</v>
      </c>
    </row>
    <row r="13" spans="1:14" ht="15" thickTop="1" x14ac:dyDescent="0.3">
      <c r="A13" s="36">
        <v>2</v>
      </c>
      <c r="B13" s="13">
        <f ca="1">H3</f>
        <v>61</v>
      </c>
      <c r="C13" s="13" t="str">
        <f ca="1">DEC2BIN(B13)</f>
        <v>111101</v>
      </c>
      <c r="D13" s="13" t="str">
        <f ca="1">TEXT(C13,$J$1)</f>
        <v>00111101</v>
      </c>
      <c r="E13" s="13">
        <f>1+(LOG10(80))^2</f>
        <v>4.6217514985889956</v>
      </c>
      <c r="F13" s="13" t="str">
        <f ca="1">_xlfn.CONCAT(MID(D13,1,$A$15),MID(D14,$A$15+1,$F$1-$A$15))</f>
        <v>00111011</v>
      </c>
      <c r="G13" s="13" t="str">
        <f ca="1">_xlfn.CONCAT(MID(F13,1,$A$17-1),N13,MID(F13,$A$17+1,$F$1-$A$17))</f>
        <v>00101011</v>
      </c>
      <c r="H13" s="14">
        <f ca="1">BIN2DEC(G13)</f>
        <v>43</v>
      </c>
      <c r="M13" t="str">
        <f ca="1">MID(F13,$A$17,1)</f>
        <v>1</v>
      </c>
      <c r="N13" t="str">
        <f t="shared" ca="1" si="5"/>
        <v>0</v>
      </c>
    </row>
    <row r="14" spans="1:14" x14ac:dyDescent="0.3">
      <c r="A14" s="37" t="s">
        <v>8</v>
      </c>
      <c r="B14" s="15">
        <f ca="1">H4</f>
        <v>139</v>
      </c>
      <c r="C14" s="15" t="str">
        <f t="shared" ref="C14:C42" ca="1" si="7">DEC2BIN(B14)</f>
        <v>10001011</v>
      </c>
      <c r="D14" s="15" t="str">
        <f t="shared" ref="D14:D42" ca="1" si="8">TEXT(C14,$J$1)</f>
        <v>10001011</v>
      </c>
      <c r="E14" s="15">
        <f>1+(LOG10(203))^2</f>
        <v>6.3245379649851765</v>
      </c>
      <c r="F14" s="15" t="str">
        <f ca="1">_xlfn.CONCAT(MID(D14,1,$A$15),MID(D13,$A$15+1,$F$1-$A$15))</f>
        <v>10001101</v>
      </c>
      <c r="G14" s="15" t="str">
        <f ca="1">_xlfn.CONCAT(MID(F14,1,$A$17-1),N14,MID(F14,$A$17+1,$F$1-$A$17))</f>
        <v>10011101</v>
      </c>
      <c r="H14" s="16">
        <f t="shared" ref="H14:H22" ca="1" si="9">BIN2DEC(G14)</f>
        <v>157</v>
      </c>
      <c r="M14" t="str">
        <f t="shared" ref="M14:M22" ca="1" si="10">MID(F14,$A$17,1)</f>
        <v>0</v>
      </c>
      <c r="N14" t="str">
        <f t="shared" ca="1" si="5"/>
        <v>1</v>
      </c>
    </row>
    <row r="15" spans="1:14" x14ac:dyDescent="0.3">
      <c r="A15" s="37">
        <f ca="1">RANDBETWEEN(1,F1-1)</f>
        <v>5</v>
      </c>
      <c r="B15" s="15">
        <f ca="1">H5</f>
        <v>158</v>
      </c>
      <c r="C15" s="15" t="str">
        <f t="shared" ca="1" si="7"/>
        <v>10011110</v>
      </c>
      <c r="D15" s="15" t="str">
        <f t="shared" ca="1" si="8"/>
        <v>10011110</v>
      </c>
      <c r="E15" s="15">
        <f>1+(LOG10(80))^2</f>
        <v>4.6217514985889956</v>
      </c>
      <c r="F15" s="15" t="str">
        <f ca="1">_xlfn.CONCAT(MID(D15,1,$A$15),MID(D16,$A$15+1,$F$1-$A$15))</f>
        <v>10011101</v>
      </c>
      <c r="G15" s="15" t="str">
        <f t="shared" ref="G15:G21" ca="1" si="11">_xlfn.CONCAT(MID(F15,1,$A$17-1),N15,MID(F15,$A$17+1,$F$1-$A$17))</f>
        <v>10001101</v>
      </c>
      <c r="H15" s="16">
        <f t="shared" ca="1" si="9"/>
        <v>141</v>
      </c>
      <c r="M15" t="str">
        <f t="shared" ca="1" si="10"/>
        <v>1</v>
      </c>
      <c r="N15" t="str">
        <f t="shared" ca="1" si="5"/>
        <v>0</v>
      </c>
    </row>
    <row r="16" spans="1:14" x14ac:dyDescent="0.3">
      <c r="A16" s="37" t="s">
        <v>9</v>
      </c>
      <c r="B16" s="15">
        <f ca="1">H6</f>
        <v>197</v>
      </c>
      <c r="C16" s="15" t="str">
        <f t="shared" ca="1" si="7"/>
        <v>11000101</v>
      </c>
      <c r="D16" s="15" t="str">
        <f t="shared" ca="1" si="8"/>
        <v>11000101</v>
      </c>
      <c r="E16" s="15">
        <f>1+(LOG10(94))^2</f>
        <v>4.8932335266509535</v>
      </c>
      <c r="F16" s="15" t="str">
        <f t="shared" ref="F16" ca="1" si="12">_xlfn.CONCAT(MID(D16,1,$A$15),MID(D15,$A$15+1,$F$1-$A$15))</f>
        <v>11000110</v>
      </c>
      <c r="G16" s="15" t="str">
        <f t="shared" ca="1" si="11"/>
        <v>11010110</v>
      </c>
      <c r="H16" s="16">
        <f t="shared" ca="1" si="9"/>
        <v>214</v>
      </c>
      <c r="M16" t="str">
        <f t="shared" ca="1" si="10"/>
        <v>0</v>
      </c>
      <c r="N16" t="str">
        <f t="shared" ca="1" si="5"/>
        <v>1</v>
      </c>
    </row>
    <row r="17" spans="1:14" x14ac:dyDescent="0.3">
      <c r="A17" s="37">
        <f ca="1">RANDBETWEEN(1,F1-1)</f>
        <v>4</v>
      </c>
      <c r="B17" s="15">
        <f ca="1">H7</f>
        <v>220</v>
      </c>
      <c r="C17" s="15" t="str">
        <f t="shared" ca="1" si="7"/>
        <v>11011100</v>
      </c>
      <c r="D17" s="15" t="str">
        <f t="shared" ca="1" si="8"/>
        <v>11011100</v>
      </c>
      <c r="E17" s="15">
        <f>1+(LOG10(149))^2</f>
        <v>5.7227385572156644</v>
      </c>
      <c r="F17" s="15" t="str">
        <f t="shared" ref="F17:F22" ca="1" si="13">_xlfn.CONCAT(MID(D17,1,$A$15),MID(D18,$A$15+1,$F$1-$A$15))</f>
        <v>11011011</v>
      </c>
      <c r="G17" s="15" t="str">
        <f t="shared" ca="1" si="11"/>
        <v>11001011</v>
      </c>
      <c r="H17" s="16">
        <f t="shared" ca="1" si="9"/>
        <v>203</v>
      </c>
      <c r="M17" t="str">
        <f t="shared" ca="1" si="10"/>
        <v>1</v>
      </c>
      <c r="N17" t="str">
        <f t="shared" ca="1" si="5"/>
        <v>0</v>
      </c>
    </row>
    <row r="18" spans="1:14" x14ac:dyDescent="0.3">
      <c r="A18" s="38"/>
      <c r="B18" s="15">
        <f ca="1">H8</f>
        <v>211</v>
      </c>
      <c r="C18" s="15" t="str">
        <f t="shared" ca="1" si="7"/>
        <v>11010011</v>
      </c>
      <c r="D18" s="15" t="str">
        <f t="shared" ca="1" si="8"/>
        <v>11010011</v>
      </c>
      <c r="E18" s="15">
        <f>1+(LOG10(18))^2</f>
        <v>2.5757090620683294</v>
      </c>
      <c r="F18" s="15" t="str">
        <f t="shared" ref="F18:F22" ca="1" si="14">_xlfn.CONCAT(MID(D18,1,$A$15),MID(D17,$A$15+1,$F$1-$A$15))</f>
        <v>11010100</v>
      </c>
      <c r="G18" s="15" t="str">
        <f t="shared" ca="1" si="11"/>
        <v>11000100</v>
      </c>
      <c r="H18" s="16">
        <f t="shared" ca="1" si="9"/>
        <v>196</v>
      </c>
      <c r="M18" t="str">
        <f t="shared" ca="1" si="10"/>
        <v>1</v>
      </c>
      <c r="N18" t="str">
        <f t="shared" ca="1" si="5"/>
        <v>0</v>
      </c>
    </row>
    <row r="19" spans="1:14" x14ac:dyDescent="0.3">
      <c r="A19" s="38"/>
      <c r="B19" s="15">
        <f ca="1">H9</f>
        <v>75</v>
      </c>
      <c r="C19" s="15" t="str">
        <f t="shared" ca="1" si="7"/>
        <v>1001011</v>
      </c>
      <c r="D19" s="15" t="str">
        <f t="shared" ca="1" si="8"/>
        <v>01001011</v>
      </c>
      <c r="E19" s="15">
        <f>1+(LOG10(220))^2</f>
        <v>6.4869440156302911</v>
      </c>
      <c r="F19" s="15" t="str">
        <f t="shared" ref="F19:F22" ca="1" si="15">_xlfn.CONCAT(MID(D19,1,$A$15),MID(D20,$A$15+1,$F$1-$A$15))</f>
        <v>01001101</v>
      </c>
      <c r="G19" s="15" t="str">
        <f t="shared" ca="1" si="11"/>
        <v>01011101</v>
      </c>
      <c r="H19" s="16">
        <f t="shared" ca="1" si="9"/>
        <v>93</v>
      </c>
      <c r="M19" t="str">
        <f t="shared" ca="1" si="10"/>
        <v>0</v>
      </c>
      <c r="N19" t="str">
        <f t="shared" ca="1" si="5"/>
        <v>1</v>
      </c>
    </row>
    <row r="20" spans="1:14" x14ac:dyDescent="0.3">
      <c r="A20" s="38"/>
      <c r="B20" s="15">
        <f ca="1">H10</f>
        <v>245</v>
      </c>
      <c r="C20" s="15" t="str">
        <f t="shared" ca="1" si="7"/>
        <v>11110101</v>
      </c>
      <c r="D20" s="15" t="str">
        <f t="shared" ca="1" si="8"/>
        <v>11110101</v>
      </c>
      <c r="E20" s="15">
        <f>1+(LOG10(121))^2</f>
        <v>5.3379948988042329</v>
      </c>
      <c r="F20" s="15" t="str">
        <f t="shared" ref="F20:F22" ca="1" si="16">_xlfn.CONCAT(MID(D20,1,$A$15),MID(D19,$A$15+1,$F$1-$A$15))</f>
        <v>11110011</v>
      </c>
      <c r="G20" s="15" t="str">
        <f t="shared" ca="1" si="11"/>
        <v>11100011</v>
      </c>
      <c r="H20" s="16">
        <f t="shared" ca="1" si="9"/>
        <v>227</v>
      </c>
      <c r="M20" t="str">
        <f t="shared" ca="1" si="10"/>
        <v>1</v>
      </c>
      <c r="N20" t="str">
        <f t="shared" ca="1" si="5"/>
        <v>0</v>
      </c>
    </row>
    <row r="21" spans="1:14" x14ac:dyDescent="0.3">
      <c r="A21" s="38"/>
      <c r="B21" s="15">
        <f ca="1">H11</f>
        <v>226</v>
      </c>
      <c r="C21" s="15" t="str">
        <f t="shared" ca="1" si="7"/>
        <v>11100010</v>
      </c>
      <c r="D21" s="15" t="str">
        <f t="shared" ca="1" si="8"/>
        <v>11100010</v>
      </c>
      <c r="E21" s="15">
        <f>1+(LOG10(180))^2</f>
        <v>6.0862540722749419</v>
      </c>
      <c r="F21" s="15" t="str">
        <f t="shared" ref="F21:F22" ca="1" si="17">_xlfn.CONCAT(MID(D21,1,$A$15),MID(D22,$A$15+1,$F$1-$A$15))</f>
        <v>11100100</v>
      </c>
      <c r="G21" s="15" t="str">
        <f t="shared" ca="1" si="11"/>
        <v>11110100</v>
      </c>
      <c r="H21" s="16">
        <f t="shared" ca="1" si="9"/>
        <v>244</v>
      </c>
      <c r="M21" t="str">
        <f t="shared" ca="1" si="10"/>
        <v>0</v>
      </c>
      <c r="N21" t="str">
        <f t="shared" ca="1" si="5"/>
        <v>1</v>
      </c>
    </row>
    <row r="22" spans="1:14" ht="15" thickBot="1" x14ac:dyDescent="0.35">
      <c r="A22" s="39"/>
      <c r="B22" s="17">
        <f ca="1">H12</f>
        <v>156</v>
      </c>
      <c r="C22" s="17" t="str">
        <f t="shared" ca="1" si="7"/>
        <v>10011100</v>
      </c>
      <c r="D22" s="17" t="str">
        <f t="shared" ca="1" si="8"/>
        <v>10011100</v>
      </c>
      <c r="E22" s="17">
        <f>1+(LOG10(40))^2</f>
        <v>3.5665962158137505</v>
      </c>
      <c r="F22" s="17" t="str">
        <f t="shared" ref="F22" ca="1" si="18">_xlfn.CONCAT(MID(D22,1,$A$15),MID(D21,$A$15+1,$F$1-$A$15))</f>
        <v>10011010</v>
      </c>
      <c r="G22" s="17" t="str">
        <f ca="1">_xlfn.CONCAT(MID(F22,1,$A$17-1),N22,MID(F22,$A$17+1,$F$1-$A$17))</f>
        <v>10001010</v>
      </c>
      <c r="H22" s="18">
        <f t="shared" ca="1" si="9"/>
        <v>138</v>
      </c>
      <c r="M22" t="str">
        <f t="shared" ca="1" si="10"/>
        <v>1</v>
      </c>
      <c r="N22" t="str">
        <f ca="1">IF((M22="1"),"0","1")</f>
        <v>0</v>
      </c>
    </row>
    <row r="23" spans="1:14" ht="15" thickTop="1" x14ac:dyDescent="0.3">
      <c r="A23" s="40">
        <v>3</v>
      </c>
      <c r="B23" s="19">
        <f ca="1">H13</f>
        <v>43</v>
      </c>
      <c r="C23" s="19" t="str">
        <f t="shared" ca="1" si="7"/>
        <v>101011</v>
      </c>
      <c r="D23" s="19" t="str">
        <f t="shared" ca="1" si="8"/>
        <v>00101011</v>
      </c>
      <c r="E23" s="19">
        <f>1+(LOG10(212))^2</f>
        <v>6.4118385378431144</v>
      </c>
      <c r="F23" s="19" t="str">
        <f ca="1">_xlfn.CONCAT(MID(D23,1,$A$25),MID(D24,$A$25+1,$F$1-$A$25))</f>
        <v>00101101</v>
      </c>
      <c r="G23" s="19" t="str">
        <f ca="1">_xlfn.CONCAT(MID(F23,1,$A$27-1),N23,MID(F23,$A$27+1,$F$1-$A$27))</f>
        <v>10101101</v>
      </c>
      <c r="H23" s="20">
        <f ca="1">BIN2DEC(G23)</f>
        <v>173</v>
      </c>
      <c r="M23" t="str">
        <f ca="1">MID(F23,$A$27,1)</f>
        <v>0</v>
      </c>
      <c r="N23" t="str">
        <f ca="1">IF((M23="1"),"0","1")</f>
        <v>1</v>
      </c>
    </row>
    <row r="24" spans="1:14" x14ac:dyDescent="0.3">
      <c r="A24" s="41" t="s">
        <v>8</v>
      </c>
      <c r="B24" s="21">
        <f t="shared" ref="B24:B32" ca="1" si="19">H14</f>
        <v>157</v>
      </c>
      <c r="C24" s="21" t="str">
        <f t="shared" ca="1" si="7"/>
        <v>10011101</v>
      </c>
      <c r="D24" s="21" t="str">
        <f t="shared" ca="1" si="8"/>
        <v>10011101</v>
      </c>
      <c r="E24" s="21">
        <f>1+(LOG10(244))^2</f>
        <v>6.6996301829056675</v>
      </c>
      <c r="F24" s="21" t="str">
        <f ca="1">_xlfn.CONCAT(MID(D24,1,$A$25),MID(D23,$A$25+1,$F$1-$A$25))</f>
        <v>10011011</v>
      </c>
      <c r="G24" s="21" t="str">
        <f t="shared" ref="G24:G33" ca="1" si="20">_xlfn.CONCAT(MID(F24,1,$A$27-1),N24,MID(F24,$A$27+1,$F$1-$A$27))</f>
        <v>00011011</v>
      </c>
      <c r="H24" s="22">
        <f t="shared" ref="H24:H32" ca="1" si="21">BIN2DEC(G24)</f>
        <v>27</v>
      </c>
      <c r="M24" t="str">
        <f t="shared" ref="M24:M33" ca="1" si="22">MID(F24,$A$27,1)</f>
        <v>1</v>
      </c>
      <c r="N24" t="str">
        <f t="shared" ref="N24:N42" ca="1" si="23">IF((M24="1"),"0","1")</f>
        <v>0</v>
      </c>
    </row>
    <row r="25" spans="1:14" x14ac:dyDescent="0.3">
      <c r="A25" s="41">
        <f ca="1">RANDBETWEEN(1,F1-1)</f>
        <v>5</v>
      </c>
      <c r="B25" s="21">
        <f t="shared" ca="1" si="19"/>
        <v>141</v>
      </c>
      <c r="C25" s="21" t="str">
        <f t="shared" ca="1" si="7"/>
        <v>10001101</v>
      </c>
      <c r="D25" s="21" t="str">
        <f t="shared" ca="1" si="8"/>
        <v>10001101</v>
      </c>
      <c r="E25" s="21">
        <f>1+(LOG10(35))^2</f>
        <v>3.3841461255836847</v>
      </c>
      <c r="F25" s="21" t="str">
        <f t="shared" ref="F25:F32" ca="1" si="24">_xlfn.CONCAT(MID(D25,1,$A$25),MID(D26,$A$25+1,$F$1-$A$25))</f>
        <v>10001110</v>
      </c>
      <c r="G25" s="21" t="str">
        <f t="shared" ca="1" si="20"/>
        <v>00001110</v>
      </c>
      <c r="H25" s="22">
        <f t="shared" ca="1" si="21"/>
        <v>14</v>
      </c>
      <c r="M25" t="str">
        <f t="shared" ca="1" si="22"/>
        <v>1</v>
      </c>
      <c r="N25" t="str">
        <f t="shared" ca="1" si="23"/>
        <v>0</v>
      </c>
    </row>
    <row r="26" spans="1:14" x14ac:dyDescent="0.3">
      <c r="A26" s="41" t="s">
        <v>9</v>
      </c>
      <c r="B26" s="21">
        <f t="shared" ca="1" si="19"/>
        <v>214</v>
      </c>
      <c r="C26" s="21" t="str">
        <f t="shared" ca="1" si="7"/>
        <v>11010110</v>
      </c>
      <c r="D26" s="21" t="str">
        <f t="shared" ca="1" si="8"/>
        <v>11010110</v>
      </c>
      <c r="E26" s="21">
        <f>1+(LOG10(88))^2</f>
        <v>4.7810128622922603</v>
      </c>
      <c r="F26" s="21" t="str">
        <f t="shared" ref="F26:F32" ca="1" si="25">_xlfn.CONCAT(MID(D26,1,$A$25),MID(D25,$A$25+1,$F$1-$A$25))</f>
        <v>11010101</v>
      </c>
      <c r="G26" s="21" t="str">
        <f t="shared" ca="1" si="20"/>
        <v>01010101</v>
      </c>
      <c r="H26" s="22">
        <f t="shared" ca="1" si="21"/>
        <v>85</v>
      </c>
      <c r="M26" t="str">
        <f t="shared" ca="1" si="22"/>
        <v>1</v>
      </c>
      <c r="N26" t="str">
        <f t="shared" ca="1" si="23"/>
        <v>0</v>
      </c>
    </row>
    <row r="27" spans="1:14" x14ac:dyDescent="0.3">
      <c r="A27" s="41">
        <f ca="1">RANDBETWEEN(1,F1)</f>
        <v>1</v>
      </c>
      <c r="B27" s="21">
        <f t="shared" ca="1" si="19"/>
        <v>203</v>
      </c>
      <c r="C27" s="21" t="str">
        <f t="shared" ca="1" si="7"/>
        <v>11001011</v>
      </c>
      <c r="D27" s="21" t="str">
        <f t="shared" ca="1" si="8"/>
        <v>11001011</v>
      </c>
      <c r="E27" s="21">
        <f>1+(LOG10(193))^2</f>
        <v>6.2237722127588571</v>
      </c>
      <c r="F27" s="21" t="str">
        <f t="shared" ref="F27:F32" ca="1" si="26">_xlfn.CONCAT(MID(D27,1,$A$25),MID(D28,$A$25+1,$F$1-$A$25))</f>
        <v>11001100</v>
      </c>
      <c r="G27" s="21" t="str">
        <f t="shared" ca="1" si="20"/>
        <v>01001100</v>
      </c>
      <c r="H27" s="22">
        <f t="shared" ca="1" si="21"/>
        <v>76</v>
      </c>
      <c r="M27" t="str">
        <f t="shared" ca="1" si="22"/>
        <v>1</v>
      </c>
      <c r="N27" t="str">
        <f t="shared" ca="1" si="23"/>
        <v>0</v>
      </c>
    </row>
    <row r="28" spans="1:14" x14ac:dyDescent="0.3">
      <c r="A28" s="38"/>
      <c r="B28" s="21">
        <f t="shared" ca="1" si="19"/>
        <v>196</v>
      </c>
      <c r="C28" s="21" t="str">
        <f t="shared" ca="1" si="7"/>
        <v>11000100</v>
      </c>
      <c r="D28" s="21" t="str">
        <f t="shared" ca="1" si="8"/>
        <v>11000100</v>
      </c>
      <c r="E28" s="21">
        <f>1+(LOG10(25))^2</f>
        <v>2.9542362678459768</v>
      </c>
      <c r="F28" s="21" t="str">
        <f t="shared" ref="F28:F32" ca="1" si="27">_xlfn.CONCAT(MID(D28,1,$A$25),MID(D27,$A$25+1,$F$1-$A$25))</f>
        <v>11000011</v>
      </c>
      <c r="G28" s="21" t="str">
        <f t="shared" ca="1" si="20"/>
        <v>01000011</v>
      </c>
      <c r="H28" s="22">
        <f t="shared" ca="1" si="21"/>
        <v>67</v>
      </c>
      <c r="M28" t="str">
        <f t="shared" ca="1" si="22"/>
        <v>1</v>
      </c>
      <c r="N28" t="str">
        <f t="shared" ca="1" si="23"/>
        <v>0</v>
      </c>
    </row>
    <row r="29" spans="1:14" x14ac:dyDescent="0.3">
      <c r="A29" s="38"/>
      <c r="B29" s="21">
        <f t="shared" ca="1" si="19"/>
        <v>93</v>
      </c>
      <c r="C29" s="21" t="str">
        <f t="shared" ca="1" si="7"/>
        <v>1011101</v>
      </c>
      <c r="D29" s="21" t="str">
        <f t="shared" ca="1" si="8"/>
        <v>01011101</v>
      </c>
      <c r="E29" s="21">
        <f>1+(LOG10(193))^2</f>
        <v>6.2237722127588571</v>
      </c>
      <c r="F29" s="21" t="str">
        <f t="shared" ref="F29:F32" ca="1" si="28">_xlfn.CONCAT(MID(D29,1,$A$25),MID(D30,$A$25+1,$F$1-$A$25))</f>
        <v>01011011</v>
      </c>
      <c r="G29" s="21" t="str">
        <f t="shared" ca="1" si="20"/>
        <v>11011011</v>
      </c>
      <c r="H29" s="22">
        <f t="shared" ca="1" si="21"/>
        <v>219</v>
      </c>
      <c r="M29" t="str">
        <f t="shared" ca="1" si="22"/>
        <v>0</v>
      </c>
      <c r="N29" t="str">
        <f t="shared" ca="1" si="23"/>
        <v>1</v>
      </c>
    </row>
    <row r="30" spans="1:14" x14ac:dyDescent="0.3">
      <c r="A30" s="38"/>
      <c r="B30" s="21">
        <f t="shared" ca="1" si="19"/>
        <v>227</v>
      </c>
      <c r="C30" s="21" t="str">
        <f t="shared" ca="1" si="7"/>
        <v>11100011</v>
      </c>
      <c r="D30" s="21" t="str">
        <f t="shared" ca="1" si="8"/>
        <v>11100011</v>
      </c>
      <c r="E30" s="21">
        <f>1+(LOG10(15))^2</f>
        <v>2.3831906496271777</v>
      </c>
      <c r="F30" s="21" t="str">
        <f t="shared" ref="F30:F32" ca="1" si="29">_xlfn.CONCAT(MID(D30,1,$A$25),MID(D29,$A$25+1,$F$1-$A$25))</f>
        <v>11100101</v>
      </c>
      <c r="G30" s="21" t="str">
        <f t="shared" ca="1" si="20"/>
        <v>01100101</v>
      </c>
      <c r="H30" s="22">
        <f t="shared" ca="1" si="21"/>
        <v>101</v>
      </c>
      <c r="M30" t="str">
        <f t="shared" ca="1" si="22"/>
        <v>1</v>
      </c>
      <c r="N30" t="str">
        <f t="shared" ca="1" si="23"/>
        <v>0</v>
      </c>
    </row>
    <row r="31" spans="1:14" x14ac:dyDescent="0.3">
      <c r="A31" s="38"/>
      <c r="B31" s="21">
        <f t="shared" ca="1" si="19"/>
        <v>244</v>
      </c>
      <c r="C31" s="21" t="str">
        <f t="shared" ca="1" si="7"/>
        <v>11110100</v>
      </c>
      <c r="D31" s="21" t="str">
        <f t="shared" ca="1" si="8"/>
        <v>11110100</v>
      </c>
      <c r="E31" s="21">
        <f>1+(LOG10(90))^2</f>
        <v>4.8190637856997096</v>
      </c>
      <c r="F31" s="21" t="str">
        <f t="shared" ref="F31:F33" ca="1" si="30">_xlfn.CONCAT(MID(D31,1,$A$25),MID(D32,$A$25+1,$F$1-$A$25))</f>
        <v>11110010</v>
      </c>
      <c r="G31" s="21" t="str">
        <f t="shared" ca="1" si="20"/>
        <v>01110010</v>
      </c>
      <c r="H31" s="22">
        <f t="shared" ca="1" si="21"/>
        <v>114</v>
      </c>
      <c r="M31" t="str">
        <f t="shared" ca="1" si="22"/>
        <v>1</v>
      </c>
      <c r="N31" t="str">
        <f t="shared" ca="1" si="23"/>
        <v>0</v>
      </c>
    </row>
    <row r="32" spans="1:14" ht="15" thickBot="1" x14ac:dyDescent="0.35">
      <c r="A32" s="39"/>
      <c r="B32" s="23">
        <f t="shared" ca="1" si="19"/>
        <v>138</v>
      </c>
      <c r="C32" s="23" t="str">
        <f t="shared" ca="1" si="7"/>
        <v>10001010</v>
      </c>
      <c r="D32" s="23" t="str">
        <f t="shared" ca="1" si="8"/>
        <v>10001010</v>
      </c>
      <c r="E32" s="23">
        <f>1+(LOG10(36))^2</f>
        <v>3.4220774738945123</v>
      </c>
      <c r="F32" s="23" t="str">
        <f t="shared" ref="F32:F34" ca="1" si="31">_xlfn.CONCAT(MID(D32,1,$A$25),MID(D31,$A$25+1,$F$1-$A$25))</f>
        <v>10001100</v>
      </c>
      <c r="G32" s="23" t="str">
        <f t="shared" ca="1" si="20"/>
        <v>00001100</v>
      </c>
      <c r="H32" s="24">
        <f t="shared" ca="1" si="21"/>
        <v>12</v>
      </c>
      <c r="M32" t="str">
        <f t="shared" ca="1" si="22"/>
        <v>1</v>
      </c>
      <c r="N32" t="str">
        <f t="shared" ca="1" si="23"/>
        <v>0</v>
      </c>
    </row>
    <row r="33" spans="1:14" ht="15" thickTop="1" x14ac:dyDescent="0.3">
      <c r="A33" s="42">
        <v>4</v>
      </c>
      <c r="B33" s="25">
        <f ca="1">H23</f>
        <v>173</v>
      </c>
      <c r="C33" s="25" t="str">
        <f t="shared" ca="1" si="7"/>
        <v>10101101</v>
      </c>
      <c r="D33" s="25" t="str">
        <f t="shared" ca="1" si="8"/>
        <v>10101101</v>
      </c>
      <c r="E33" s="25">
        <f>1+(LOG10(179))^2</f>
        <v>6.075346779195292</v>
      </c>
      <c r="F33" s="25" t="str">
        <f ca="1">_xlfn.CONCAT(MID(D33,1,$A$35),MID(D34,$A$35+1,$F$1-$A$35))</f>
        <v>10111011</v>
      </c>
      <c r="G33" s="25" t="str">
        <f ca="1">_xlfn.CONCAT(MID(F33,1,$A$37-1),N33,MID(F33,$A$37+1,$F$1-$A$37))</f>
        <v>10110011</v>
      </c>
      <c r="H33" s="26">
        <f ca="1">BIN2DEC(G33)</f>
        <v>179</v>
      </c>
      <c r="M33" t="str">
        <f ca="1">MID(F33,$A$37,1)</f>
        <v>1</v>
      </c>
      <c r="N33" t="str">
        <f t="shared" ca="1" si="23"/>
        <v>0</v>
      </c>
    </row>
    <row r="34" spans="1:14" x14ac:dyDescent="0.3">
      <c r="A34" s="43" t="s">
        <v>8</v>
      </c>
      <c r="B34" s="27">
        <f t="shared" ref="B34:B42" ca="1" si="32">H24</f>
        <v>27</v>
      </c>
      <c r="C34" s="27" t="str">
        <f t="shared" ca="1" si="7"/>
        <v>11011</v>
      </c>
      <c r="D34" s="27" t="str">
        <f t="shared" ca="1" si="8"/>
        <v>00011011</v>
      </c>
      <c r="E34" s="27">
        <f>1+(LOG10(121))^2</f>
        <v>5.3379948988042329</v>
      </c>
      <c r="F34" s="27" t="str">
        <f ca="1">_xlfn.CONCAT(MID(D34,1,$A$35),MID(D33,$A$35+1,$F$1-$A$35))</f>
        <v>00001101</v>
      </c>
      <c r="G34" s="27" t="str">
        <f t="shared" ref="G34:G42" ca="1" si="33">_xlfn.CONCAT(MID(F34,1,$A$37-1),N34,MID(F34,$A$37+1,$F$1-$A$37))</f>
        <v>00000101</v>
      </c>
      <c r="H34" s="28">
        <f t="shared" ref="H34:H42" ca="1" si="34">BIN2DEC(G34)</f>
        <v>5</v>
      </c>
      <c r="M34" t="str">
        <f t="shared" ref="M34:M42" ca="1" si="35">MID(F34,$A$37,1)</f>
        <v>1</v>
      </c>
      <c r="N34" t="str">
        <f t="shared" ca="1" si="23"/>
        <v>0</v>
      </c>
    </row>
    <row r="35" spans="1:14" x14ac:dyDescent="0.3">
      <c r="A35" s="43">
        <f ca="1">RANDBETWEEN(1,F1-1)</f>
        <v>3</v>
      </c>
      <c r="B35" s="27">
        <f t="shared" ca="1" si="32"/>
        <v>14</v>
      </c>
      <c r="C35" s="27" t="str">
        <f t="shared" ca="1" si="7"/>
        <v>1110</v>
      </c>
      <c r="D35" s="27" t="str">
        <f t="shared" ca="1" si="8"/>
        <v>00001110</v>
      </c>
      <c r="E35" s="27">
        <f>1+(LOG10(121))^2</f>
        <v>5.3379948988042329</v>
      </c>
      <c r="F35" s="27" t="str">
        <f t="shared" ref="F35:F42" ca="1" si="36">_xlfn.CONCAT(MID(D35,1,$A$35),MID(D36,$A$35+1,$F$1-$A$35))</f>
        <v>00010101</v>
      </c>
      <c r="G35" s="27" t="str">
        <f t="shared" ca="1" si="33"/>
        <v>00011101</v>
      </c>
      <c r="H35" s="28">
        <f t="shared" ca="1" si="34"/>
        <v>29</v>
      </c>
      <c r="M35" t="str">
        <f t="shared" ca="1" si="35"/>
        <v>0</v>
      </c>
      <c r="N35" t="str">
        <f t="shared" ca="1" si="23"/>
        <v>1</v>
      </c>
    </row>
    <row r="36" spans="1:14" x14ac:dyDescent="0.3">
      <c r="A36" s="43" t="s">
        <v>9</v>
      </c>
      <c r="B36" s="27">
        <f t="shared" ca="1" si="32"/>
        <v>85</v>
      </c>
      <c r="C36" s="27" t="str">
        <f t="shared" ca="1" si="7"/>
        <v>1010101</v>
      </c>
      <c r="D36" s="27" t="str">
        <f t="shared" ca="1" si="8"/>
        <v>01010101</v>
      </c>
      <c r="E36" s="27">
        <f>1+(LOG10(112))^2</f>
        <v>5.1992945044362884</v>
      </c>
      <c r="F36" s="27" t="str">
        <f t="shared" ref="F36:F42" ca="1" si="37">_xlfn.CONCAT(MID(D36,1,$A$35),MID(D35,$A$35+1,$F$1-$A$35))</f>
        <v>01001110</v>
      </c>
      <c r="G36" s="27" t="str">
        <f t="shared" ca="1" si="33"/>
        <v>01000110</v>
      </c>
      <c r="H36" s="28">
        <f t="shared" ca="1" si="34"/>
        <v>70</v>
      </c>
      <c r="M36" t="str">
        <f t="shared" ca="1" si="35"/>
        <v>1</v>
      </c>
      <c r="N36" t="str">
        <f t="shared" ca="1" si="23"/>
        <v>0</v>
      </c>
    </row>
    <row r="37" spans="1:14" x14ac:dyDescent="0.3">
      <c r="A37" s="43">
        <f ca="1">RANDBETWEEN(1,F1)</f>
        <v>5</v>
      </c>
      <c r="B37" s="27">
        <f t="shared" ca="1" si="32"/>
        <v>76</v>
      </c>
      <c r="C37" s="27" t="str">
        <f t="shared" ca="1" si="7"/>
        <v>1001100</v>
      </c>
      <c r="D37" s="27" t="str">
        <f t="shared" ca="1" si="8"/>
        <v>01001100</v>
      </c>
      <c r="E37" s="27">
        <f>1+(LOG10(20))^2</f>
        <v>2.6926790496174191</v>
      </c>
      <c r="F37" s="27" t="str">
        <f t="shared" ref="F37:F42" ca="1" si="38">_xlfn.CONCAT(MID(D37,1,$A$35),MID(D38,$A$35+1,$F$1-$A$35))</f>
        <v>01000011</v>
      </c>
      <c r="G37" s="27" t="str">
        <f t="shared" ca="1" si="33"/>
        <v>01001011</v>
      </c>
      <c r="H37" s="28">
        <f t="shared" ca="1" si="34"/>
        <v>75</v>
      </c>
      <c r="M37" t="str">
        <f t="shared" ca="1" si="35"/>
        <v>0</v>
      </c>
      <c r="N37" t="str">
        <f t="shared" ca="1" si="23"/>
        <v>1</v>
      </c>
    </row>
    <row r="38" spans="1:14" x14ac:dyDescent="0.3">
      <c r="A38" s="38"/>
      <c r="B38" s="27">
        <f t="shared" ca="1" si="32"/>
        <v>67</v>
      </c>
      <c r="C38" s="27" t="str">
        <f t="shared" ca="1" si="7"/>
        <v>1000011</v>
      </c>
      <c r="D38" s="27" t="str">
        <f t="shared" ca="1" si="8"/>
        <v>01000011</v>
      </c>
      <c r="E38" s="27">
        <f>1+(LOG10(97))^2</f>
        <v>4.9472619240793021</v>
      </c>
      <c r="F38" s="27" t="str">
        <f t="shared" ref="F38:F42" ca="1" si="39">_xlfn.CONCAT(MID(D38,1,$A$35),MID(D37,$A$35+1,$F$1-$A$35))</f>
        <v>01001100</v>
      </c>
      <c r="G38" s="27" t="str">
        <f t="shared" ca="1" si="33"/>
        <v>01000100</v>
      </c>
      <c r="H38" s="28">
        <f t="shared" ca="1" si="34"/>
        <v>68</v>
      </c>
      <c r="M38" t="str">
        <f t="shared" ca="1" si="35"/>
        <v>1</v>
      </c>
      <c r="N38" t="str">
        <f t="shared" ca="1" si="23"/>
        <v>0</v>
      </c>
    </row>
    <row r="39" spans="1:14" x14ac:dyDescent="0.3">
      <c r="A39" s="38"/>
      <c r="B39" s="27">
        <f t="shared" ca="1" si="32"/>
        <v>219</v>
      </c>
      <c r="C39" s="27" t="str">
        <f t="shared" ca="1" si="7"/>
        <v>11011011</v>
      </c>
      <c r="D39" s="27" t="str">
        <f t="shared" ca="1" si="8"/>
        <v>11011011</v>
      </c>
      <c r="E39" s="27">
        <f>1+(LOG10(37))^2</f>
        <v>3.4592566473666957</v>
      </c>
      <c r="F39" s="27" t="str">
        <f t="shared" ref="F39:F42" ca="1" si="40">_xlfn.CONCAT(MID(D39,1,$A$35),MID(D40,$A$35+1,$F$1-$A$35))</f>
        <v>11000101</v>
      </c>
      <c r="G39" s="27" t="str">
        <f t="shared" ca="1" si="33"/>
        <v>11001101</v>
      </c>
      <c r="H39" s="28">
        <f t="shared" ca="1" si="34"/>
        <v>205</v>
      </c>
      <c r="M39" t="str">
        <f t="shared" ca="1" si="35"/>
        <v>0</v>
      </c>
      <c r="N39" t="str">
        <f t="shared" ca="1" si="23"/>
        <v>1</v>
      </c>
    </row>
    <row r="40" spans="1:14" x14ac:dyDescent="0.3">
      <c r="A40" s="38"/>
      <c r="B40" s="27">
        <f t="shared" ca="1" si="32"/>
        <v>101</v>
      </c>
      <c r="C40" s="27" t="str">
        <f t="shared" ca="1" si="7"/>
        <v>1100101</v>
      </c>
      <c r="D40" s="27" t="str">
        <f t="shared" ca="1" si="8"/>
        <v>01100101</v>
      </c>
      <c r="E40" s="27">
        <f>1+(LOG10(158))^2</f>
        <v>5.834092986014908</v>
      </c>
      <c r="F40" s="27" t="str">
        <f t="shared" ref="F40:F42" ca="1" si="41">_xlfn.CONCAT(MID(D40,1,$A$35),MID(D39,$A$35+1,$F$1-$A$35))</f>
        <v>01111011</v>
      </c>
      <c r="G40" s="27" t="str">
        <f t="shared" ca="1" si="33"/>
        <v>01110011</v>
      </c>
      <c r="H40" s="28">
        <f t="shared" ca="1" si="34"/>
        <v>115</v>
      </c>
      <c r="M40" t="str">
        <f t="shared" ca="1" si="35"/>
        <v>1</v>
      </c>
      <c r="N40" t="str">
        <f t="shared" ca="1" si="23"/>
        <v>0</v>
      </c>
    </row>
    <row r="41" spans="1:14" x14ac:dyDescent="0.3">
      <c r="A41" s="38"/>
      <c r="B41" s="27">
        <f t="shared" ca="1" si="32"/>
        <v>114</v>
      </c>
      <c r="C41" s="27" t="str">
        <f t="shared" ca="1" si="7"/>
        <v>1110010</v>
      </c>
      <c r="D41" s="27" t="str">
        <f t="shared" ca="1" si="8"/>
        <v>01110010</v>
      </c>
      <c r="E41" s="27">
        <f>1+(LOG10(31))^2</f>
        <v>3.2241597018362307</v>
      </c>
      <c r="F41" s="27" t="str">
        <f t="shared" ref="F41:F42" ca="1" si="42">_xlfn.CONCAT(MID(D41,1,$A$35),MID(D42,$A$35+1,$F$1-$A$35))</f>
        <v>01101100</v>
      </c>
      <c r="G41" s="27" t="str">
        <f t="shared" ca="1" si="33"/>
        <v>01100100</v>
      </c>
      <c r="H41" s="28">
        <f t="shared" ca="1" si="34"/>
        <v>100</v>
      </c>
      <c r="M41" t="str">
        <f t="shared" ca="1" si="35"/>
        <v>1</v>
      </c>
      <c r="N41" t="str">
        <f t="shared" ca="1" si="23"/>
        <v>0</v>
      </c>
    </row>
    <row r="42" spans="1:14" ht="15" thickBot="1" x14ac:dyDescent="0.35">
      <c r="A42" s="39"/>
      <c r="B42" s="29">
        <f t="shared" ca="1" si="32"/>
        <v>12</v>
      </c>
      <c r="C42" s="29" t="str">
        <f t="shared" ca="1" si="7"/>
        <v>1100</v>
      </c>
      <c r="D42" s="29" t="str">
        <f t="shared" ca="1" si="8"/>
        <v>00001100</v>
      </c>
      <c r="E42" s="29">
        <f>1+(LOG10(208))^2</f>
        <v>6.3734176248986802</v>
      </c>
      <c r="F42" s="29" t="str">
        <f t="shared" ref="F42" ca="1" si="43">_xlfn.CONCAT(MID(D42,1,$A$35),MID(D41,$A$35+1,$F$1-$A$35))</f>
        <v>00010010</v>
      </c>
      <c r="G42" s="29" t="str">
        <f t="shared" ca="1" si="33"/>
        <v>00011010</v>
      </c>
      <c r="H42" s="30">
        <f t="shared" ca="1" si="34"/>
        <v>26</v>
      </c>
      <c r="M42" t="str">
        <f t="shared" ca="1" si="35"/>
        <v>0</v>
      </c>
      <c r="N42" t="str">
        <f t="shared" ca="1" si="23"/>
        <v>1</v>
      </c>
    </row>
    <row r="43" spans="1:14" ht="15" thickTop="1" x14ac:dyDescent="0.3"/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Nina</dc:creator>
  <cp:lastModifiedBy>Alexander Nina</cp:lastModifiedBy>
  <dcterms:created xsi:type="dcterms:W3CDTF">2021-05-26T15:26:39Z</dcterms:created>
  <dcterms:modified xsi:type="dcterms:W3CDTF">2021-05-26T17:35:10Z</dcterms:modified>
</cp:coreProperties>
</file>